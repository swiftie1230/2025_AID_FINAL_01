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eojin/Downloads/2025_AID_MIDTERM_01-main/"/>
    </mc:Choice>
  </mc:AlternateContent>
  <xr:revisionPtr revIDLastSave="0" documentId="13_ncr:1_{3E763A6F-5ACB-4F42-AB86-2EA6F5D10C4E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기말고사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4" l="1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J16" i="4"/>
  <c r="M16" i="4" s="1"/>
  <c r="M15" i="4"/>
  <c r="M14" i="4"/>
  <c r="M13" i="4"/>
  <c r="M12" i="4"/>
  <c r="M11" i="4"/>
  <c r="M10" i="4"/>
  <c r="M9" i="4"/>
  <c r="M8" i="4"/>
  <c r="M7" i="4"/>
  <c r="M6" i="4"/>
  <c r="M5" i="4"/>
  <c r="M4" i="4"/>
  <c r="J3" i="4"/>
  <c r="M3" i="4" s="1"/>
  <c r="M2" i="4"/>
  <c r="M41" i="4" l="1"/>
  <c r="M40" i="4" a="1"/>
  <c r="M40" i="4" s="1"/>
  <c r="M39" i="4"/>
</calcChain>
</file>

<file path=xl/sharedStrings.xml><?xml version="1.0" encoding="utf-8"?>
<sst xmlns="http://schemas.openxmlformats.org/spreadsheetml/2006/main" count="117" uniqueCount="91">
  <si>
    <t>총점</t>
  </si>
  <si>
    <t>박민준</t>
  </si>
  <si>
    <t>psss36786@gmail.com</t>
  </si>
  <si>
    <t>김용빈</t>
  </si>
  <si>
    <t>dragonbin05@kakao.com</t>
  </si>
  <si>
    <t>서중원</t>
  </si>
  <si>
    <t>sjw09298@cau.ac.kr</t>
  </si>
  <si>
    <t>이도원</t>
  </si>
  <si>
    <t>robin200603@gmail.com</t>
  </si>
  <si>
    <t>이윤후</t>
  </si>
  <si>
    <t>brian122990@naver.com</t>
  </si>
  <si>
    <t>최지한</t>
  </si>
  <si>
    <t>jaanny0426@gmail.com</t>
  </si>
  <si>
    <t>황석현</t>
  </si>
  <si>
    <t>soekbung@gmail.com</t>
  </si>
  <si>
    <t>서용훈</t>
  </si>
  <si>
    <t>yhseo0629@naver.com</t>
  </si>
  <si>
    <t>김용승</t>
  </si>
  <si>
    <t>kupwelling@naver.com</t>
  </si>
  <si>
    <t>태하영</t>
  </si>
  <si>
    <t>zixpotf5803@naver.com</t>
  </si>
  <si>
    <t>한상민</t>
  </si>
  <si>
    <t>smcrony010@gmail.com</t>
  </si>
  <si>
    <t>유성진</t>
  </si>
  <si>
    <t>sungjin4451@gmail.com</t>
  </si>
  <si>
    <t>김재경</t>
  </si>
  <si>
    <t>oppkimjk0808@naver.com</t>
  </si>
  <si>
    <t>김찬범</t>
  </si>
  <si>
    <t>cbkim2006@gmail.com</t>
  </si>
  <si>
    <t>이채연</t>
  </si>
  <si>
    <t>lchaeyeon0206@naver.com</t>
  </si>
  <si>
    <t>지민근</t>
  </si>
  <si>
    <t>wlalsrms2025048@cau.ac.kr</t>
  </si>
  <si>
    <t>김희주</t>
  </si>
  <si>
    <t>kimheejue0401@naver.com</t>
  </si>
  <si>
    <t>주이찬</t>
  </si>
  <si>
    <t>juchan1@cau.ac.kr</t>
  </si>
  <si>
    <t>김재원</t>
  </si>
  <si>
    <t>wpfhzkxm@naver.com</t>
  </si>
  <si>
    <t>김현호</t>
  </si>
  <si>
    <t>kimhyunho2004@naver.com</t>
  </si>
  <si>
    <t>지연재</t>
  </si>
  <si>
    <t>41yj1212@naver.com</t>
  </si>
  <si>
    <t>윤진규</t>
  </si>
  <si>
    <t>wlsrb0309@naver.com</t>
  </si>
  <si>
    <t>오채연</t>
  </si>
  <si>
    <t>chaeyeon3526@naver.com</t>
  </si>
  <si>
    <t>서창현</t>
  </si>
  <si>
    <t>changhyeon0331@gmail.com</t>
  </si>
  <si>
    <t>김영재</t>
  </si>
  <si>
    <t>alisong0604@gmail.com</t>
  </si>
  <si>
    <t>이재석</t>
  </si>
  <si>
    <t>jh9603887@naver.com</t>
  </si>
  <si>
    <t>김고근</t>
  </si>
  <si>
    <t>miinkoo@naver.com</t>
  </si>
  <si>
    <t>이은호</t>
  </si>
  <si>
    <t>leh0322joy@gmail.com</t>
  </si>
  <si>
    <t>김아현</t>
  </si>
  <si>
    <t>0303kelly@naver.com</t>
  </si>
  <si>
    <t>백영주</t>
  </si>
  <si>
    <t>byj3566@naver.com</t>
  </si>
  <si>
    <t>박수현</t>
  </si>
  <si>
    <t>henrysh2006@gmail.com</t>
  </si>
  <si>
    <t>김보민</t>
  </si>
  <si>
    <t>bbom5959@gmail.com</t>
  </si>
  <si>
    <t>정준원</t>
  </si>
  <si>
    <t>jj0200696@gmail.com</t>
  </si>
  <si>
    <t>최진우</t>
  </si>
  <si>
    <t>wlsdn7230@naver.com</t>
  </si>
  <si>
    <t>은재민</t>
  </si>
  <si>
    <t>jaemineun1221@naver.com</t>
  </si>
  <si>
    <t>오영석</t>
  </si>
  <si>
    <t>youngseokoh1116@naver.com</t>
  </si>
  <si>
    <t>Name</t>
  </si>
  <si>
    <t>e-mail</t>
  </si>
  <si>
    <t>Student ID</t>
  </si>
  <si>
    <t>김성혁</t>
  </si>
  <si>
    <t>06shkim1@gmail.com</t>
  </si>
  <si>
    <t>1 (10p)</t>
  </si>
  <si>
    <t>6 (14p)</t>
  </si>
  <si>
    <t>7 (15p)</t>
  </si>
  <si>
    <t>2 (8p)</t>
  </si>
  <si>
    <t>3 (10p)</t>
  </si>
  <si>
    <t>4 (8p)</t>
  </si>
  <si>
    <t>5 (10p)</t>
  </si>
  <si>
    <t>8 (12p)</t>
  </si>
  <si>
    <t>9 (13p)</t>
  </si>
  <si>
    <t>X</t>
  </si>
  <si>
    <t>평균</t>
  </si>
  <si>
    <t>중앙값</t>
  </si>
  <si>
    <t>표준편차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</si>
</sst>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\/d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Malgun Gothic"/>
      <family val="2"/>
      <charset val="129"/>
    </font>
    <font>
      <sz val="12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626E7A"/>
        <bgColor rgb="FF626E7A"/>
      </patternFill>
    </fill>
  </fills>
  <borders count="15">
    <border>
      <left/>
      <right/>
      <top/>
      <bottom/>
      <diagonal/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4A535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A535C"/>
      </bottom>
      <diagonal/>
    </border>
    <border>
      <left style="thin">
        <color rgb="FF626E7A"/>
      </left>
      <right style="thin">
        <color rgb="FF626E7A"/>
      </right>
      <top style="thin">
        <color rgb="FF4A535C"/>
      </top>
      <bottom style="thin">
        <color rgb="FF4A535C"/>
      </bottom>
      <diagonal/>
    </border>
    <border>
      <left style="thin">
        <color rgb="FF626E7A"/>
      </left>
      <right style="thin">
        <color rgb="FF4A535C"/>
      </right>
      <top style="thin">
        <color rgb="FF4A535C"/>
      </top>
      <bottom style="thin">
        <color rgb="FF4A535C"/>
      </bottom>
      <diagonal/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4A535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49" fontId="1" fillId="2" borderId="2" xfId="0" applyNumberFormat="1" applyFont="1" applyFill="1" applyBorder="1"/>
    <xf numFmtId="0" fontId="1" fillId="2" borderId="2" xfId="0" applyFont="1" applyFill="1" applyBorder="1" applyAlignment="1">
      <alignment horizontal="right"/>
    </xf>
    <xf numFmtId="0" fontId="1" fillId="3" borderId="3" xfId="0" applyFont="1" applyFill="1" applyBorder="1"/>
    <xf numFmtId="49" fontId="1" fillId="3" borderId="4" xfId="0" applyNumberFormat="1" applyFont="1" applyFill="1" applyBorder="1"/>
    <xf numFmtId="0" fontId="1" fillId="3" borderId="4" xfId="0" applyFont="1" applyFill="1" applyBorder="1" applyAlignment="1">
      <alignment horizontal="right"/>
    </xf>
    <xf numFmtId="0" fontId="1" fillId="2" borderId="5" xfId="0" applyFont="1" applyFill="1" applyBorder="1"/>
    <xf numFmtId="49" fontId="1" fillId="2" borderId="6" xfId="0" applyNumberFormat="1" applyFont="1" applyFill="1" applyBorder="1"/>
    <xf numFmtId="0" fontId="1" fillId="2" borderId="6" xfId="0" applyFont="1" applyFill="1" applyBorder="1" applyAlignment="1">
      <alignment horizontal="right"/>
    </xf>
    <xf numFmtId="0" fontId="1" fillId="2" borderId="7" xfId="0" applyFont="1" applyFill="1" applyBorder="1"/>
    <xf numFmtId="49" fontId="1" fillId="2" borderId="8" xfId="0" applyNumberFormat="1" applyFont="1" applyFill="1" applyBorder="1"/>
    <xf numFmtId="0" fontId="1" fillId="2" borderId="8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8" fillId="2" borderId="1" xfId="0" applyFont="1" applyFill="1" applyBorder="1"/>
    <xf numFmtId="49" fontId="8" fillId="2" borderId="2" xfId="0" applyNumberFormat="1" applyFont="1" applyFill="1" applyBorder="1"/>
    <xf numFmtId="0" fontId="8" fillId="2" borderId="2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8" fillId="3" borderId="3" xfId="0" applyFont="1" applyFill="1" applyBorder="1"/>
    <xf numFmtId="49" fontId="8" fillId="3" borderId="4" xfId="0" applyNumberFormat="1" applyFont="1" applyFill="1" applyBorder="1"/>
    <xf numFmtId="0" fontId="8" fillId="3" borderId="4" xfId="0" applyFont="1" applyFill="1" applyBorder="1" applyAlignment="1">
      <alignment horizontal="right"/>
    </xf>
    <xf numFmtId="0" fontId="9" fillId="3" borderId="4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right" wrapText="1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0">
    <tableStyle name="성적부여용-style" pivot="0" count="2" xr9:uid="{00000000-0011-0000-FFFF-FFFF00000000}">
      <tableStyleElement type="firstRowStripe" dxfId="19"/>
      <tableStyleElement type="secondRowStripe" dxfId="18"/>
    </tableStyle>
    <tableStyle name="중간고사-style" pivot="0" count="2" xr9:uid="{00000000-0011-0000-FFFF-FFFF01000000}">
      <tableStyleElement type="firstRowStripe" dxfId="17"/>
      <tableStyleElement type="secondRowStripe" dxfId="16"/>
    </tableStyle>
    <tableStyle name="기말고사-style" pivot="0" count="2" xr9:uid="{00000000-0011-0000-FFFF-FFFF02000000}">
      <tableStyleElement type="firstRowStripe" dxfId="15"/>
      <tableStyleElement type="secondRowStripe" dxfId="14"/>
    </tableStyle>
    <tableStyle name="퀴즈-style" pivot="0" count="2" xr9:uid="{00000000-0011-0000-FFFF-FFFF03000000}">
      <tableStyleElement type="firstRowStripe" dxfId="13"/>
      <tableStyleElement type="secondRowStripe" dxfId="12"/>
    </tableStyle>
    <tableStyle name="In-class Assignment-style" pivot="0" count="2" xr9:uid="{00000000-0011-0000-FFFF-FFFF04000000}">
      <tableStyleElement type="firstRowStripe" dxfId="11"/>
      <tableStyleElement type="secondRowStripe" dxfId="10"/>
    </tableStyle>
    <tableStyle name="After-class Assignment-style" pivot="0" count="2" xr9:uid="{00000000-0011-0000-FFFF-FFFF05000000}">
      <tableStyleElement type="firstRowStripe" dxfId="9"/>
      <tableStyleElement type="secondRowStripe" dxfId="8"/>
    </tableStyle>
    <tableStyle name="Homework 1-style" pivot="0" count="2" xr9:uid="{00000000-0011-0000-FFFF-FFFF06000000}">
      <tableStyleElement type="firstRowStripe" dxfId="7"/>
      <tableStyleElement type="secondRowStripe" dxfId="6"/>
    </tableStyle>
    <tableStyle name="Homework 2-style" pivot="0" count="2" xr9:uid="{00000000-0011-0000-FFFF-FFFF07000000}">
      <tableStyleElement type="firstRowStripe" dxfId="5"/>
      <tableStyleElement type="secondRowStripe" dxfId="4"/>
    </tableStyle>
    <tableStyle name="성적부여용-old-style" pivot="0" count="2" xr9:uid="{00000000-0011-0000-FFFF-FFFF08000000}">
      <tableStyleElement type="firstRowStripe" dxfId="3"/>
      <tableStyleElement type="secondRowStripe" dxfId="2"/>
    </tableStyle>
    <tableStyle name="퀴즈-old-style" pivot="0" count="2" xr9:uid="{00000000-0011-0000-FFFF-FFFF09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M41" headerRowCount="0">
  <tableColumns count="13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</tableColumns>
  <tableStyleInfo name="기말고사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42"/>
  <sheetViews>
    <sheetView tabSelected="1" topLeftCell="A2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sheetData>
    <row r="1" spans="1:13" x14ac:dyDescent="0.2">
      <c r="A1" s="13" t="s">
        <v>73</v>
      </c>
      <c r="B1" s="13" t="s">
        <v>74</v>
      </c>
      <c r="C1" s="14" t="s">
        <v>75</v>
      </c>
      <c r="D1" s="17" t="s">
        <v>78</v>
      </c>
      <c r="E1" s="17" t="s">
        <v>81</v>
      </c>
      <c r="F1" s="17" t="s">
        <v>82</v>
      </c>
      <c r="G1" s="17" t="s">
        <v>83</v>
      </c>
      <c r="H1" s="17" t="s">
        <v>84</v>
      </c>
      <c r="I1" s="17" t="s">
        <v>79</v>
      </c>
      <c r="J1" s="17" t="s">
        <v>80</v>
      </c>
      <c r="K1" s="17" t="s">
        <v>85</v>
      </c>
      <c r="L1" s="17" t="s">
        <v>86</v>
      </c>
      <c r="M1" s="18" t="s">
        <v>0</v>
      </c>
    </row>
    <row r="2" spans="1:13" ht="15.75" customHeight="1" x14ac:dyDescent="0.15">
      <c r="A2" s="1" t="s">
        <v>53</v>
      </c>
      <c r="B2" s="2" t="s">
        <v>54</v>
      </c>
      <c r="C2" s="3">
        <v>20255783</v>
      </c>
      <c r="D2" s="19">
        <v>6</v>
      </c>
      <c r="E2" s="19">
        <v>2</v>
      </c>
      <c r="F2" s="19">
        <v>7</v>
      </c>
      <c r="G2" s="19">
        <v>0</v>
      </c>
      <c r="H2" s="19">
        <v>6</v>
      </c>
      <c r="I2" s="19">
        <v>14</v>
      </c>
      <c r="J2" s="19">
        <v>4</v>
      </c>
      <c r="K2" s="19">
        <v>6</v>
      </c>
      <c r="L2" s="19">
        <v>5</v>
      </c>
      <c r="M2" s="20">
        <f t="shared" ref="M2:M38" si="0">SUM(D2:L2)</f>
        <v>50</v>
      </c>
    </row>
    <row r="3" spans="1:13" ht="15.75" customHeight="1" x14ac:dyDescent="0.15">
      <c r="A3" s="4" t="s">
        <v>63</v>
      </c>
      <c r="B3" s="5" t="s">
        <v>64</v>
      </c>
      <c r="C3" s="6">
        <v>20255642</v>
      </c>
      <c r="D3" s="21">
        <v>4</v>
      </c>
      <c r="E3" s="21">
        <v>6</v>
      </c>
      <c r="F3" s="21">
        <v>0</v>
      </c>
      <c r="G3" s="21">
        <v>4</v>
      </c>
      <c r="H3" s="21">
        <v>0</v>
      </c>
      <c r="I3" s="21">
        <v>0</v>
      </c>
      <c r="J3" s="21">
        <f>2</f>
        <v>2</v>
      </c>
      <c r="K3" s="21">
        <v>0</v>
      </c>
      <c r="L3" s="21">
        <v>5</v>
      </c>
      <c r="M3" s="22">
        <f t="shared" si="0"/>
        <v>21</v>
      </c>
    </row>
    <row r="4" spans="1:13" ht="15.75" customHeight="1" x14ac:dyDescent="0.15">
      <c r="A4" s="27" t="s">
        <v>76</v>
      </c>
      <c r="B4" s="28" t="s">
        <v>77</v>
      </c>
      <c r="C4" s="29">
        <v>20256586</v>
      </c>
      <c r="D4" s="30" t="s">
        <v>87</v>
      </c>
      <c r="E4" s="30" t="s">
        <v>87</v>
      </c>
      <c r="F4" s="30" t="s">
        <v>87</v>
      </c>
      <c r="G4" s="30" t="s">
        <v>87</v>
      </c>
      <c r="H4" s="30" t="s">
        <v>87</v>
      </c>
      <c r="I4" s="30" t="s">
        <v>87</v>
      </c>
      <c r="J4" s="30" t="s">
        <v>87</v>
      </c>
      <c r="K4" s="30" t="s">
        <v>87</v>
      </c>
      <c r="L4" s="30" t="s">
        <v>87</v>
      </c>
      <c r="M4" s="31">
        <f t="shared" si="0"/>
        <v>0</v>
      </c>
    </row>
    <row r="5" spans="1:13" ht="15.75" customHeight="1" x14ac:dyDescent="0.15">
      <c r="A5" s="32" t="s">
        <v>57</v>
      </c>
      <c r="B5" s="33" t="s">
        <v>58</v>
      </c>
      <c r="C5" s="34">
        <v>20253185</v>
      </c>
      <c r="D5" s="35" t="s">
        <v>87</v>
      </c>
      <c r="E5" s="35" t="s">
        <v>87</v>
      </c>
      <c r="F5" s="35" t="s">
        <v>87</v>
      </c>
      <c r="G5" s="35" t="s">
        <v>87</v>
      </c>
      <c r="H5" s="35" t="s">
        <v>87</v>
      </c>
      <c r="I5" s="35" t="s">
        <v>87</v>
      </c>
      <c r="J5" s="35" t="s">
        <v>87</v>
      </c>
      <c r="K5" s="35" t="s">
        <v>87</v>
      </c>
      <c r="L5" s="35" t="s">
        <v>87</v>
      </c>
      <c r="M5" s="36">
        <f t="shared" si="0"/>
        <v>0</v>
      </c>
    </row>
    <row r="6" spans="1:13" ht="15.75" customHeight="1" x14ac:dyDescent="0.15">
      <c r="A6" s="1" t="s">
        <v>49</v>
      </c>
      <c r="B6" s="2" t="s">
        <v>50</v>
      </c>
      <c r="C6" s="3">
        <v>20232284</v>
      </c>
      <c r="D6" s="19">
        <v>8</v>
      </c>
      <c r="E6" s="19">
        <v>4</v>
      </c>
      <c r="F6" s="19">
        <v>7</v>
      </c>
      <c r="G6" s="19">
        <v>8</v>
      </c>
      <c r="H6" s="19">
        <v>6</v>
      </c>
      <c r="I6" s="19">
        <v>14</v>
      </c>
      <c r="J6" s="19">
        <v>10</v>
      </c>
      <c r="K6" s="19">
        <v>3</v>
      </c>
      <c r="L6" s="19">
        <v>3</v>
      </c>
      <c r="M6" s="20">
        <f t="shared" si="0"/>
        <v>63</v>
      </c>
    </row>
    <row r="7" spans="1:13" ht="15.75" customHeight="1" x14ac:dyDescent="0.15">
      <c r="A7" s="4" t="s">
        <v>3</v>
      </c>
      <c r="B7" s="5" t="s">
        <v>4</v>
      </c>
      <c r="C7" s="6">
        <v>20252822</v>
      </c>
      <c r="D7" s="21">
        <v>6</v>
      </c>
      <c r="E7" s="21">
        <v>8</v>
      </c>
      <c r="F7" s="21">
        <v>10</v>
      </c>
      <c r="G7" s="21">
        <v>8</v>
      </c>
      <c r="H7" s="21">
        <v>6</v>
      </c>
      <c r="I7" s="21">
        <v>14</v>
      </c>
      <c r="J7" s="21">
        <v>15</v>
      </c>
      <c r="K7" s="21">
        <v>12</v>
      </c>
      <c r="L7" s="21">
        <v>13</v>
      </c>
      <c r="M7" s="22">
        <f t="shared" si="0"/>
        <v>92</v>
      </c>
    </row>
    <row r="8" spans="1:13" ht="15.75" customHeight="1" x14ac:dyDescent="0.15">
      <c r="A8" s="1" t="s">
        <v>17</v>
      </c>
      <c r="B8" s="2" t="s">
        <v>18</v>
      </c>
      <c r="C8" s="3">
        <v>20254647</v>
      </c>
      <c r="D8" s="19">
        <v>8</v>
      </c>
      <c r="E8" s="19">
        <v>6</v>
      </c>
      <c r="F8" s="19">
        <v>10</v>
      </c>
      <c r="G8" s="19">
        <v>8</v>
      </c>
      <c r="H8" s="19">
        <v>2</v>
      </c>
      <c r="I8" s="19">
        <v>14</v>
      </c>
      <c r="J8" s="19">
        <v>15</v>
      </c>
      <c r="K8" s="19">
        <v>9</v>
      </c>
      <c r="L8" s="19">
        <v>13</v>
      </c>
      <c r="M8" s="20">
        <f t="shared" si="0"/>
        <v>85</v>
      </c>
    </row>
    <row r="9" spans="1:13" ht="15.75" customHeight="1" x14ac:dyDescent="0.15">
      <c r="A9" s="4" t="s">
        <v>25</v>
      </c>
      <c r="B9" s="5" t="s">
        <v>26</v>
      </c>
      <c r="C9" s="6">
        <v>20256900</v>
      </c>
      <c r="D9" s="21">
        <v>8</v>
      </c>
      <c r="E9" s="21">
        <v>2</v>
      </c>
      <c r="F9" s="21">
        <v>6</v>
      </c>
      <c r="G9" s="21">
        <v>4</v>
      </c>
      <c r="H9" s="21">
        <v>0</v>
      </c>
      <c r="I9" s="21">
        <v>14</v>
      </c>
      <c r="J9" s="21">
        <v>15</v>
      </c>
      <c r="K9" s="21">
        <v>9</v>
      </c>
      <c r="L9" s="21">
        <v>5</v>
      </c>
      <c r="M9" s="22">
        <f t="shared" si="0"/>
        <v>63</v>
      </c>
    </row>
    <row r="10" spans="1:13" ht="15.75" customHeight="1" x14ac:dyDescent="0.15">
      <c r="A10" s="1" t="s">
        <v>37</v>
      </c>
      <c r="B10" s="2" t="s">
        <v>38</v>
      </c>
      <c r="C10" s="3">
        <v>20222672</v>
      </c>
      <c r="D10" s="19">
        <v>6</v>
      </c>
      <c r="E10" s="19">
        <v>4</v>
      </c>
      <c r="F10" s="19">
        <v>0</v>
      </c>
      <c r="G10" s="19">
        <v>4</v>
      </c>
      <c r="H10" s="19">
        <v>2</v>
      </c>
      <c r="I10" s="19">
        <v>14</v>
      </c>
      <c r="J10" s="19">
        <v>14</v>
      </c>
      <c r="K10" s="19">
        <v>6</v>
      </c>
      <c r="L10" s="19">
        <v>5</v>
      </c>
      <c r="M10" s="20">
        <f t="shared" si="0"/>
        <v>55</v>
      </c>
    </row>
    <row r="11" spans="1:13" ht="15.75" customHeight="1" x14ac:dyDescent="0.15">
      <c r="A11" s="4" t="s">
        <v>27</v>
      </c>
      <c r="B11" s="5" t="s">
        <v>28</v>
      </c>
      <c r="C11" s="6">
        <v>20253234</v>
      </c>
      <c r="D11" s="21">
        <v>8</v>
      </c>
      <c r="E11" s="21">
        <v>6</v>
      </c>
      <c r="F11" s="21">
        <v>7</v>
      </c>
      <c r="G11" s="21">
        <v>4</v>
      </c>
      <c r="H11" s="21">
        <v>2</v>
      </c>
      <c r="I11" s="21">
        <v>14</v>
      </c>
      <c r="J11" s="21">
        <v>15</v>
      </c>
      <c r="K11" s="21">
        <v>0</v>
      </c>
      <c r="L11" s="21">
        <v>8</v>
      </c>
      <c r="M11" s="22">
        <f t="shared" si="0"/>
        <v>64</v>
      </c>
    </row>
    <row r="12" spans="1:13" ht="15.75" customHeight="1" x14ac:dyDescent="0.15">
      <c r="A12" s="1" t="s">
        <v>39</v>
      </c>
      <c r="B12" s="2" t="s">
        <v>40</v>
      </c>
      <c r="C12" s="3">
        <v>20250658</v>
      </c>
      <c r="D12" s="19">
        <v>6</v>
      </c>
      <c r="E12" s="19">
        <v>2</v>
      </c>
      <c r="F12" s="19">
        <v>7</v>
      </c>
      <c r="G12" s="19">
        <v>4</v>
      </c>
      <c r="H12" s="19">
        <v>0</v>
      </c>
      <c r="I12" s="19">
        <v>14</v>
      </c>
      <c r="J12" s="19">
        <v>15</v>
      </c>
      <c r="K12" s="19">
        <v>6</v>
      </c>
      <c r="L12" s="19">
        <v>4</v>
      </c>
      <c r="M12" s="20">
        <f t="shared" si="0"/>
        <v>58</v>
      </c>
    </row>
    <row r="13" spans="1:13" ht="15.75" customHeight="1" x14ac:dyDescent="0.15">
      <c r="A13" s="4" t="s">
        <v>33</v>
      </c>
      <c r="B13" s="5" t="s">
        <v>34</v>
      </c>
      <c r="C13" s="6">
        <v>20252007</v>
      </c>
      <c r="D13" s="21">
        <v>6</v>
      </c>
      <c r="E13" s="21">
        <v>2</v>
      </c>
      <c r="F13" s="21">
        <v>0</v>
      </c>
      <c r="G13" s="21">
        <v>8</v>
      </c>
      <c r="H13" s="21">
        <v>0</v>
      </c>
      <c r="I13" s="21">
        <v>14</v>
      </c>
      <c r="J13" s="21">
        <v>12</v>
      </c>
      <c r="K13" s="21">
        <v>9</v>
      </c>
      <c r="L13" s="21">
        <v>5</v>
      </c>
      <c r="M13" s="22">
        <f t="shared" si="0"/>
        <v>56</v>
      </c>
    </row>
    <row r="14" spans="1:13" ht="15.75" customHeight="1" x14ac:dyDescent="0.15">
      <c r="A14" s="1" t="s">
        <v>1</v>
      </c>
      <c r="B14" s="2" t="s">
        <v>2</v>
      </c>
      <c r="C14" s="3">
        <v>20224030</v>
      </c>
      <c r="D14" s="19">
        <v>8</v>
      </c>
      <c r="E14" s="19">
        <v>8</v>
      </c>
      <c r="F14" s="19">
        <v>10</v>
      </c>
      <c r="G14" s="19">
        <v>8</v>
      </c>
      <c r="H14" s="19">
        <v>6</v>
      </c>
      <c r="I14" s="19">
        <v>14</v>
      </c>
      <c r="J14" s="19">
        <v>15</v>
      </c>
      <c r="K14" s="19">
        <v>6</v>
      </c>
      <c r="L14" s="19">
        <v>13</v>
      </c>
      <c r="M14" s="20">
        <f t="shared" si="0"/>
        <v>88</v>
      </c>
    </row>
    <row r="15" spans="1:13" ht="15.75" customHeight="1" x14ac:dyDescent="0.15">
      <c r="A15" s="4" t="s">
        <v>61</v>
      </c>
      <c r="B15" s="5" t="s">
        <v>62</v>
      </c>
      <c r="C15" s="6">
        <v>20251704</v>
      </c>
      <c r="D15" s="21">
        <v>10</v>
      </c>
      <c r="E15" s="21">
        <v>2</v>
      </c>
      <c r="F15" s="21">
        <v>3</v>
      </c>
      <c r="G15" s="21">
        <v>0</v>
      </c>
      <c r="H15" s="21">
        <v>0</v>
      </c>
      <c r="I15" s="21">
        <v>10</v>
      </c>
      <c r="J15" s="21">
        <v>4</v>
      </c>
      <c r="K15" s="21">
        <v>3</v>
      </c>
      <c r="L15" s="21">
        <v>0</v>
      </c>
      <c r="M15" s="22">
        <f t="shared" si="0"/>
        <v>32</v>
      </c>
    </row>
    <row r="16" spans="1:13" ht="15.75" customHeight="1" x14ac:dyDescent="0.15">
      <c r="A16" s="1" t="s">
        <v>59</v>
      </c>
      <c r="B16" s="2" t="s">
        <v>60</v>
      </c>
      <c r="C16" s="3">
        <v>20255960</v>
      </c>
      <c r="D16" s="19">
        <v>4</v>
      </c>
      <c r="E16" s="19">
        <v>2</v>
      </c>
      <c r="F16" s="19">
        <v>3</v>
      </c>
      <c r="G16" s="19">
        <v>0</v>
      </c>
      <c r="H16" s="19">
        <v>0</v>
      </c>
      <c r="I16" s="19">
        <v>10</v>
      </c>
      <c r="J16" s="19">
        <f>15-3</f>
        <v>12</v>
      </c>
      <c r="K16" s="19">
        <v>6</v>
      </c>
      <c r="L16" s="19">
        <v>8</v>
      </c>
      <c r="M16" s="20">
        <f t="shared" si="0"/>
        <v>45</v>
      </c>
    </row>
    <row r="17" spans="1:13" ht="15.75" customHeight="1" x14ac:dyDescent="0.15">
      <c r="A17" s="4" t="s">
        <v>15</v>
      </c>
      <c r="B17" s="5" t="s">
        <v>16</v>
      </c>
      <c r="C17" s="6">
        <v>20254655</v>
      </c>
      <c r="D17" s="21">
        <v>10</v>
      </c>
      <c r="E17" s="21">
        <v>6</v>
      </c>
      <c r="F17" s="21">
        <v>10</v>
      </c>
      <c r="G17" s="21">
        <v>8</v>
      </c>
      <c r="H17" s="21">
        <v>2</v>
      </c>
      <c r="I17" s="21">
        <v>14</v>
      </c>
      <c r="J17" s="21">
        <v>12</v>
      </c>
      <c r="K17" s="21">
        <v>6</v>
      </c>
      <c r="L17" s="21">
        <v>3</v>
      </c>
      <c r="M17" s="22">
        <f t="shared" si="0"/>
        <v>71</v>
      </c>
    </row>
    <row r="18" spans="1:13" ht="15.75" customHeight="1" x14ac:dyDescent="0.15">
      <c r="A18" s="1" t="s">
        <v>5</v>
      </c>
      <c r="B18" s="2" t="s">
        <v>6</v>
      </c>
      <c r="C18" s="3">
        <v>20230330</v>
      </c>
      <c r="D18" s="19">
        <v>8</v>
      </c>
      <c r="E18" s="19">
        <v>8</v>
      </c>
      <c r="F18" s="19">
        <v>10</v>
      </c>
      <c r="G18" s="19">
        <v>8</v>
      </c>
      <c r="H18" s="19">
        <v>4</v>
      </c>
      <c r="I18" s="19">
        <v>14</v>
      </c>
      <c r="J18" s="19">
        <v>15</v>
      </c>
      <c r="K18" s="19">
        <v>12</v>
      </c>
      <c r="L18" s="19">
        <v>7</v>
      </c>
      <c r="M18" s="20">
        <f t="shared" si="0"/>
        <v>86</v>
      </c>
    </row>
    <row r="19" spans="1:13" ht="15.75" customHeight="1" x14ac:dyDescent="0.15">
      <c r="A19" s="4" t="s">
        <v>47</v>
      </c>
      <c r="B19" s="5" t="s">
        <v>48</v>
      </c>
      <c r="C19" s="6">
        <v>20251748</v>
      </c>
      <c r="D19" s="21">
        <v>6</v>
      </c>
      <c r="E19" s="21">
        <v>2</v>
      </c>
      <c r="F19" s="21">
        <v>6</v>
      </c>
      <c r="G19" s="21">
        <v>4</v>
      </c>
      <c r="H19" s="21">
        <v>2</v>
      </c>
      <c r="I19" s="21">
        <v>14</v>
      </c>
      <c r="J19" s="21">
        <v>12</v>
      </c>
      <c r="K19" s="21">
        <v>6</v>
      </c>
      <c r="L19" s="21">
        <v>5</v>
      </c>
      <c r="M19" s="22">
        <f t="shared" si="0"/>
        <v>57</v>
      </c>
    </row>
    <row r="20" spans="1:13" ht="15.75" customHeight="1" x14ac:dyDescent="0.15">
      <c r="A20" s="7" t="s">
        <v>71</v>
      </c>
      <c r="B20" s="8" t="s">
        <v>72</v>
      </c>
      <c r="C20" s="9">
        <v>20253742</v>
      </c>
      <c r="D20" s="23">
        <v>4</v>
      </c>
      <c r="E20" s="23">
        <v>4</v>
      </c>
      <c r="F20" s="23">
        <v>0</v>
      </c>
      <c r="G20" s="23">
        <v>0</v>
      </c>
      <c r="H20" s="23">
        <v>2</v>
      </c>
      <c r="I20" s="23">
        <v>2</v>
      </c>
      <c r="J20" s="23">
        <v>0</v>
      </c>
      <c r="K20" s="23">
        <v>0</v>
      </c>
      <c r="L20" s="23">
        <v>0</v>
      </c>
      <c r="M20" s="24">
        <f t="shared" si="0"/>
        <v>12</v>
      </c>
    </row>
    <row r="21" spans="1:13" ht="15.75" customHeight="1" x14ac:dyDescent="0.15">
      <c r="A21" s="4" t="s">
        <v>45</v>
      </c>
      <c r="B21" s="5" t="s">
        <v>46</v>
      </c>
      <c r="C21" s="6">
        <v>20255568</v>
      </c>
      <c r="D21" s="21">
        <v>8</v>
      </c>
      <c r="E21" s="21">
        <v>2</v>
      </c>
      <c r="F21" s="21">
        <v>0</v>
      </c>
      <c r="G21" s="21">
        <v>0</v>
      </c>
      <c r="H21" s="21">
        <v>6</v>
      </c>
      <c r="I21" s="21">
        <v>0</v>
      </c>
      <c r="J21" s="21">
        <v>7</v>
      </c>
      <c r="K21" s="21">
        <v>3</v>
      </c>
      <c r="L21" s="21">
        <v>0</v>
      </c>
      <c r="M21" s="22">
        <f t="shared" si="0"/>
        <v>26</v>
      </c>
    </row>
    <row r="22" spans="1:13" ht="15.75" customHeight="1" x14ac:dyDescent="0.15">
      <c r="A22" s="1" t="s">
        <v>23</v>
      </c>
      <c r="B22" s="2" t="s">
        <v>24</v>
      </c>
      <c r="C22" s="3">
        <v>20253028</v>
      </c>
      <c r="D22" s="19">
        <v>8</v>
      </c>
      <c r="E22" s="19">
        <v>6</v>
      </c>
      <c r="F22" s="19">
        <v>7</v>
      </c>
      <c r="G22" s="19">
        <v>4</v>
      </c>
      <c r="H22" s="19">
        <v>6</v>
      </c>
      <c r="I22" s="19">
        <v>14</v>
      </c>
      <c r="J22" s="19">
        <v>4</v>
      </c>
      <c r="K22" s="19">
        <v>9</v>
      </c>
      <c r="L22" s="19">
        <v>8</v>
      </c>
      <c r="M22" s="20">
        <f t="shared" si="0"/>
        <v>66</v>
      </c>
    </row>
    <row r="23" spans="1:13" ht="15.75" customHeight="1" x14ac:dyDescent="0.15">
      <c r="A23" s="4" t="s">
        <v>43</v>
      </c>
      <c r="B23" s="5" t="s">
        <v>44</v>
      </c>
      <c r="C23" s="6">
        <v>20236111</v>
      </c>
      <c r="D23" s="21">
        <v>8</v>
      </c>
      <c r="E23" s="21">
        <v>8</v>
      </c>
      <c r="F23" s="21">
        <v>6</v>
      </c>
      <c r="G23" s="21">
        <v>4</v>
      </c>
      <c r="H23" s="21">
        <v>2</v>
      </c>
      <c r="I23" s="21">
        <v>12</v>
      </c>
      <c r="J23" s="21">
        <v>3</v>
      </c>
      <c r="K23" s="21">
        <v>3</v>
      </c>
      <c r="L23" s="21">
        <v>5</v>
      </c>
      <c r="M23" s="22">
        <f t="shared" si="0"/>
        <v>51</v>
      </c>
    </row>
    <row r="24" spans="1:13" ht="15.75" customHeight="1" x14ac:dyDescent="0.15">
      <c r="A24" s="1" t="s">
        <v>69</v>
      </c>
      <c r="B24" s="2" t="s">
        <v>70</v>
      </c>
      <c r="C24" s="3">
        <v>20252660</v>
      </c>
      <c r="D24" s="19">
        <v>2</v>
      </c>
      <c r="E24" s="19">
        <v>0</v>
      </c>
      <c r="F24" s="19">
        <v>0</v>
      </c>
      <c r="G24" s="19">
        <v>0</v>
      </c>
      <c r="H24" s="19">
        <v>0</v>
      </c>
      <c r="I24" s="19">
        <v>2</v>
      </c>
      <c r="J24" s="19">
        <v>0</v>
      </c>
      <c r="K24" s="19">
        <v>0</v>
      </c>
      <c r="L24" s="19">
        <v>0</v>
      </c>
      <c r="M24" s="20">
        <f t="shared" si="0"/>
        <v>4</v>
      </c>
    </row>
    <row r="25" spans="1:13" ht="15.75" customHeight="1" x14ac:dyDescent="0.15">
      <c r="A25" s="4" t="s">
        <v>7</v>
      </c>
      <c r="B25" s="5" t="s">
        <v>8</v>
      </c>
      <c r="C25" s="6">
        <v>20253625</v>
      </c>
      <c r="D25" s="21">
        <v>10</v>
      </c>
      <c r="E25" s="21">
        <v>8</v>
      </c>
      <c r="F25" s="21">
        <v>10</v>
      </c>
      <c r="G25" s="21">
        <v>8</v>
      </c>
      <c r="H25" s="21">
        <v>2</v>
      </c>
      <c r="I25" s="21">
        <v>14</v>
      </c>
      <c r="J25" s="21">
        <v>15</v>
      </c>
      <c r="K25" s="21">
        <v>12</v>
      </c>
      <c r="L25" s="21">
        <v>9</v>
      </c>
      <c r="M25" s="22">
        <f t="shared" si="0"/>
        <v>88</v>
      </c>
    </row>
    <row r="26" spans="1:13" ht="15.75" customHeight="1" x14ac:dyDescent="0.15">
      <c r="A26" s="1" t="s">
        <v>9</v>
      </c>
      <c r="B26" s="2" t="s">
        <v>10</v>
      </c>
      <c r="C26" s="3">
        <v>20256386</v>
      </c>
      <c r="D26" s="19">
        <v>8</v>
      </c>
      <c r="E26" s="19">
        <v>6</v>
      </c>
      <c r="F26" s="19">
        <v>10</v>
      </c>
      <c r="G26" s="19">
        <v>8</v>
      </c>
      <c r="H26" s="19">
        <v>2</v>
      </c>
      <c r="I26" s="19">
        <v>14</v>
      </c>
      <c r="J26" s="19">
        <v>13</v>
      </c>
      <c r="K26" s="19">
        <v>12</v>
      </c>
      <c r="L26" s="19">
        <v>12</v>
      </c>
      <c r="M26" s="20">
        <f t="shared" si="0"/>
        <v>85</v>
      </c>
    </row>
    <row r="27" spans="1:13" ht="15.75" customHeight="1" x14ac:dyDescent="0.15">
      <c r="A27" s="4" t="s">
        <v>55</v>
      </c>
      <c r="B27" s="5" t="s">
        <v>56</v>
      </c>
      <c r="C27" s="6">
        <v>20243866</v>
      </c>
      <c r="D27" s="21">
        <v>2</v>
      </c>
      <c r="E27" s="21">
        <v>2</v>
      </c>
      <c r="F27" s="21">
        <v>0</v>
      </c>
      <c r="G27" s="21">
        <v>8</v>
      </c>
      <c r="H27" s="21">
        <v>0</v>
      </c>
      <c r="I27" s="21">
        <v>14</v>
      </c>
      <c r="J27" s="21">
        <v>0</v>
      </c>
      <c r="K27" s="21">
        <v>0</v>
      </c>
      <c r="L27" s="21">
        <v>3</v>
      </c>
      <c r="M27" s="22">
        <f t="shared" si="0"/>
        <v>29</v>
      </c>
    </row>
    <row r="28" spans="1:13" ht="15.75" customHeight="1" x14ac:dyDescent="0.15">
      <c r="A28" s="1" t="s">
        <v>51</v>
      </c>
      <c r="B28" s="2" t="s">
        <v>52</v>
      </c>
      <c r="C28" s="3">
        <v>20232053</v>
      </c>
      <c r="D28" s="19">
        <v>6</v>
      </c>
      <c r="E28" s="19">
        <v>4</v>
      </c>
      <c r="F28" s="19">
        <v>4</v>
      </c>
      <c r="G28" s="19">
        <v>8</v>
      </c>
      <c r="H28" s="19">
        <v>2</v>
      </c>
      <c r="I28" s="19">
        <v>8</v>
      </c>
      <c r="J28" s="19">
        <v>9</v>
      </c>
      <c r="K28" s="19">
        <v>9</v>
      </c>
      <c r="L28" s="19">
        <v>10</v>
      </c>
      <c r="M28" s="20">
        <f t="shared" si="0"/>
        <v>60</v>
      </c>
    </row>
    <row r="29" spans="1:13" ht="15.75" customHeight="1" x14ac:dyDescent="0.15">
      <c r="A29" s="4" t="s">
        <v>29</v>
      </c>
      <c r="B29" s="5" t="s">
        <v>30</v>
      </c>
      <c r="C29" s="6">
        <v>20254626</v>
      </c>
      <c r="D29" s="21">
        <v>10</v>
      </c>
      <c r="E29" s="21">
        <v>4</v>
      </c>
      <c r="F29" s="21">
        <v>7</v>
      </c>
      <c r="G29" s="21">
        <v>0</v>
      </c>
      <c r="H29" s="21">
        <v>0</v>
      </c>
      <c r="I29" s="21">
        <v>14</v>
      </c>
      <c r="J29" s="21">
        <v>15</v>
      </c>
      <c r="K29" s="21">
        <v>9</v>
      </c>
      <c r="L29" s="21">
        <v>8</v>
      </c>
      <c r="M29" s="22">
        <f t="shared" si="0"/>
        <v>67</v>
      </c>
    </row>
    <row r="30" spans="1:13" ht="15.75" customHeight="1" x14ac:dyDescent="0.15">
      <c r="A30" s="27" t="s">
        <v>65</v>
      </c>
      <c r="B30" s="28" t="s">
        <v>66</v>
      </c>
      <c r="C30" s="29">
        <v>20253773</v>
      </c>
      <c r="D30" s="30" t="s">
        <v>87</v>
      </c>
      <c r="E30" s="30" t="s">
        <v>87</v>
      </c>
      <c r="F30" s="30" t="s">
        <v>87</v>
      </c>
      <c r="G30" s="30" t="s">
        <v>87</v>
      </c>
      <c r="H30" s="30" t="s">
        <v>87</v>
      </c>
      <c r="I30" s="30" t="s">
        <v>87</v>
      </c>
      <c r="J30" s="30" t="s">
        <v>87</v>
      </c>
      <c r="K30" s="30" t="s">
        <v>87</v>
      </c>
      <c r="L30" s="30" t="s">
        <v>87</v>
      </c>
      <c r="M30" s="31">
        <f t="shared" si="0"/>
        <v>0</v>
      </c>
    </row>
    <row r="31" spans="1:13" ht="15.75" customHeight="1" x14ac:dyDescent="0.15">
      <c r="A31" s="4" t="s">
        <v>35</v>
      </c>
      <c r="B31" s="5" t="s">
        <v>36</v>
      </c>
      <c r="C31" s="6">
        <v>20251831</v>
      </c>
      <c r="D31" s="21">
        <v>8</v>
      </c>
      <c r="E31" s="21">
        <v>2</v>
      </c>
      <c r="F31" s="21">
        <v>3</v>
      </c>
      <c r="G31" s="21">
        <v>4</v>
      </c>
      <c r="H31" s="21">
        <v>2</v>
      </c>
      <c r="I31" s="21">
        <v>14</v>
      </c>
      <c r="J31" s="21">
        <v>14</v>
      </c>
      <c r="K31" s="21">
        <v>3</v>
      </c>
      <c r="L31" s="21">
        <v>9</v>
      </c>
      <c r="M31" s="22">
        <f t="shared" si="0"/>
        <v>59</v>
      </c>
    </row>
    <row r="32" spans="1:13" ht="15.75" customHeight="1" x14ac:dyDescent="0.15">
      <c r="A32" s="1" t="s">
        <v>31</v>
      </c>
      <c r="B32" s="2" t="s">
        <v>32</v>
      </c>
      <c r="C32" s="3">
        <v>20250480</v>
      </c>
      <c r="D32" s="19">
        <v>8</v>
      </c>
      <c r="E32" s="19">
        <v>4</v>
      </c>
      <c r="F32" s="19">
        <v>6</v>
      </c>
      <c r="G32" s="19">
        <v>8</v>
      </c>
      <c r="H32" s="19">
        <v>2</v>
      </c>
      <c r="I32" s="19">
        <v>14</v>
      </c>
      <c r="J32" s="19">
        <v>15</v>
      </c>
      <c r="K32" s="19">
        <v>3</v>
      </c>
      <c r="L32" s="19">
        <v>3</v>
      </c>
      <c r="M32" s="20">
        <f t="shared" si="0"/>
        <v>63</v>
      </c>
    </row>
    <row r="33" spans="1:13" ht="15.75" customHeight="1" x14ac:dyDescent="0.15">
      <c r="A33" s="4" t="s">
        <v>41</v>
      </c>
      <c r="B33" s="5" t="s">
        <v>42</v>
      </c>
      <c r="C33" s="6">
        <v>20251719</v>
      </c>
      <c r="D33" s="21">
        <v>6</v>
      </c>
      <c r="E33" s="21">
        <v>4</v>
      </c>
      <c r="F33" s="21">
        <v>3</v>
      </c>
      <c r="G33" s="21">
        <v>4</v>
      </c>
      <c r="H33" s="21">
        <v>0</v>
      </c>
      <c r="I33" s="21">
        <v>14</v>
      </c>
      <c r="J33" s="21">
        <v>11</v>
      </c>
      <c r="K33" s="21">
        <v>3</v>
      </c>
      <c r="L33" s="21">
        <v>8</v>
      </c>
      <c r="M33" s="22">
        <f t="shared" si="0"/>
        <v>53</v>
      </c>
    </row>
    <row r="34" spans="1:13" ht="15.75" customHeight="1" x14ac:dyDescent="0.15">
      <c r="A34" s="1" t="s">
        <v>11</v>
      </c>
      <c r="B34" s="2" t="s">
        <v>12</v>
      </c>
      <c r="C34" s="3">
        <v>20252926</v>
      </c>
      <c r="D34" s="19">
        <v>8</v>
      </c>
      <c r="E34" s="19">
        <v>6</v>
      </c>
      <c r="F34" s="19">
        <v>10</v>
      </c>
      <c r="G34" s="19">
        <v>8</v>
      </c>
      <c r="H34" s="19">
        <v>2</v>
      </c>
      <c r="I34" s="19">
        <v>14</v>
      </c>
      <c r="J34" s="19">
        <v>14</v>
      </c>
      <c r="K34" s="19">
        <v>9</v>
      </c>
      <c r="L34" s="19">
        <v>8</v>
      </c>
      <c r="M34" s="20">
        <f t="shared" si="0"/>
        <v>79</v>
      </c>
    </row>
    <row r="35" spans="1:13" ht="15.75" customHeight="1" x14ac:dyDescent="0.15">
      <c r="A35" s="4" t="s">
        <v>67</v>
      </c>
      <c r="B35" s="5" t="s">
        <v>68</v>
      </c>
      <c r="C35" s="6">
        <v>20252445</v>
      </c>
      <c r="D35" s="21">
        <v>6</v>
      </c>
      <c r="E35" s="21">
        <v>0</v>
      </c>
      <c r="F35" s="21">
        <v>0</v>
      </c>
      <c r="G35" s="21">
        <v>0</v>
      </c>
      <c r="H35" s="21">
        <v>6</v>
      </c>
      <c r="I35" s="21">
        <v>0</v>
      </c>
      <c r="J35" s="21">
        <v>0</v>
      </c>
      <c r="K35" s="21">
        <v>0</v>
      </c>
      <c r="L35" s="21">
        <v>0</v>
      </c>
      <c r="M35" s="22">
        <f t="shared" si="0"/>
        <v>12</v>
      </c>
    </row>
    <row r="36" spans="1:13" ht="15.75" customHeight="1" x14ac:dyDescent="0.15">
      <c r="A36" s="1" t="s">
        <v>19</v>
      </c>
      <c r="B36" s="2" t="s">
        <v>20</v>
      </c>
      <c r="C36" s="3">
        <v>20232290</v>
      </c>
      <c r="D36" s="19">
        <v>8</v>
      </c>
      <c r="E36" s="19">
        <v>6</v>
      </c>
      <c r="F36" s="19">
        <v>10</v>
      </c>
      <c r="G36" s="19">
        <v>8</v>
      </c>
      <c r="H36" s="19">
        <v>6</v>
      </c>
      <c r="I36" s="19">
        <v>12</v>
      </c>
      <c r="J36" s="19">
        <v>15</v>
      </c>
      <c r="K36" s="19">
        <v>12</v>
      </c>
      <c r="L36" s="19">
        <v>9</v>
      </c>
      <c r="M36" s="20">
        <f t="shared" si="0"/>
        <v>86</v>
      </c>
    </row>
    <row r="37" spans="1:13" ht="15.75" customHeight="1" x14ac:dyDescent="0.15">
      <c r="A37" s="4" t="s">
        <v>21</v>
      </c>
      <c r="B37" s="5" t="s">
        <v>22</v>
      </c>
      <c r="C37" s="6">
        <v>20250026</v>
      </c>
      <c r="D37" s="21">
        <v>8</v>
      </c>
      <c r="E37" s="21">
        <v>8</v>
      </c>
      <c r="F37" s="21">
        <v>6</v>
      </c>
      <c r="G37" s="21">
        <v>8</v>
      </c>
      <c r="H37" s="21">
        <v>4</v>
      </c>
      <c r="I37" s="21">
        <v>14</v>
      </c>
      <c r="J37" s="21">
        <v>15</v>
      </c>
      <c r="K37" s="21">
        <v>6</v>
      </c>
      <c r="L37" s="21">
        <v>3</v>
      </c>
      <c r="M37" s="22">
        <f t="shared" si="0"/>
        <v>72</v>
      </c>
    </row>
    <row r="38" spans="1:13" ht="15.75" customHeight="1" x14ac:dyDescent="0.15">
      <c r="A38" s="10" t="s">
        <v>13</v>
      </c>
      <c r="B38" s="11" t="s">
        <v>14</v>
      </c>
      <c r="C38" s="12">
        <v>20253979</v>
      </c>
      <c r="D38" s="25">
        <v>8</v>
      </c>
      <c r="E38" s="25">
        <v>8</v>
      </c>
      <c r="F38" s="25">
        <v>6</v>
      </c>
      <c r="G38" s="25">
        <v>8</v>
      </c>
      <c r="H38" s="25">
        <v>0</v>
      </c>
      <c r="I38" s="25">
        <v>14</v>
      </c>
      <c r="J38" s="25">
        <v>12</v>
      </c>
      <c r="K38" s="25">
        <v>9</v>
      </c>
      <c r="L38" s="25">
        <v>12</v>
      </c>
      <c r="M38" s="26">
        <f t="shared" si="0"/>
        <v>77</v>
      </c>
    </row>
    <row r="39" spans="1:13" ht="15.75" customHeight="1" x14ac:dyDescent="0.15">
      <c r="A39" s="37"/>
      <c r="B39" s="38"/>
      <c r="C39" s="39"/>
      <c r="D39" s="40"/>
      <c r="E39" s="40"/>
      <c r="F39" s="40"/>
      <c r="G39" s="40"/>
      <c r="H39" s="40"/>
      <c r="I39" s="40"/>
      <c r="J39" s="40"/>
      <c r="K39" s="40"/>
      <c r="L39" s="40" t="s">
        <v>88</v>
      </c>
      <c r="M39" s="41">
        <f>AVERAGEIF(M2:M38, "&lt;&gt;0")</f>
        <v>58.088235294117645</v>
      </c>
    </row>
    <row r="40" spans="1:13" ht="15.75" customHeight="1" x14ac:dyDescent="0.15">
      <c r="A40" s="37"/>
      <c r="B40" s="38"/>
      <c r="C40" s="39"/>
      <c r="D40" s="40"/>
      <c r="E40" s="40"/>
      <c r="F40" s="40"/>
      <c r="G40" s="40"/>
      <c r="H40" s="40"/>
      <c r="I40" s="40"/>
      <c r="J40" s="40"/>
      <c r="K40" s="40"/>
      <c r="L40" s="40" t="s">
        <v>89</v>
      </c>
      <c r="M40" s="41">
        <f t="array" ref="M40">MEDIAN(IF(M2:M38&lt;&gt;0, M2:M38))</f>
        <v>61.5</v>
      </c>
    </row>
    <row r="41" spans="1:13" ht="15.75" customHeight="1" x14ac:dyDescent="0.15">
      <c r="A41" s="37"/>
      <c r="B41" s="38"/>
      <c r="C41" s="39"/>
      <c r="D41" s="40"/>
      <c r="E41" s="40"/>
      <c r="F41" s="40"/>
      <c r="G41" s="40"/>
      <c r="H41" s="40"/>
      <c r="I41" s="40"/>
      <c r="J41" s="40"/>
      <c r="K41" s="40"/>
      <c r="L41" s="40" t="s">
        <v>90</v>
      </c>
      <c r="M41" s="41">
        <f>_xlfn.STDEV.S(M2:M38)</f>
        <v>27.933802055883788</v>
      </c>
    </row>
    <row r="42" spans="1:13" ht="15.75" customHeight="1" x14ac:dyDescent="0.25">
      <c r="A42" s="16"/>
      <c r="B42" s="15"/>
      <c r="C42" s="15"/>
      <c r="D42" s="42"/>
      <c r="E42" s="42"/>
      <c r="F42" s="42"/>
      <c r="G42" s="42"/>
      <c r="H42" s="42"/>
      <c r="I42" s="42"/>
      <c r="J42" s="42"/>
      <c r="K42" s="42"/>
      <c r="L42" s="42"/>
      <c r="M42" s="4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기말고사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황서진</cp:lastModifiedBy>
  <dcterms:modified xsi:type="dcterms:W3CDTF">2025-12-23T04:13:38Z</dcterms:modified>
</cp:coreProperties>
</file>